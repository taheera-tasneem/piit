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Sheet1!$A$1:$T$28</definedName>
  </definedNames>
  <calcPr/>
</workbook>
</file>

<file path=xl/sharedStrings.xml><?xml version="1.0" encoding="utf-8"?>
<sst xmlns="http://schemas.openxmlformats.org/spreadsheetml/2006/main" count="352" uniqueCount="109">
  <si>
    <t>Google Sheets Assignment</t>
  </si>
  <si>
    <t>OrderID</t>
  </si>
  <si>
    <t>Action/ Answer</t>
  </si>
  <si>
    <t>1. Freeze the top row.</t>
  </si>
  <si>
    <t>Salesperson</t>
  </si>
  <si>
    <t>View-Freeze-1 Row</t>
  </si>
  <si>
    <t>Region</t>
  </si>
  <si>
    <t>Product</t>
  </si>
  <si>
    <t>Category</t>
  </si>
  <si>
    <t>2. Apply filter and sort Revenue descending.</t>
  </si>
  <si>
    <t>Units</t>
  </si>
  <si>
    <t>Data-Create a filter-Revenue-Sort Z- A</t>
  </si>
  <si>
    <t>UnitPrice</t>
  </si>
  <si>
    <t>Revenue</t>
  </si>
  <si>
    <t>Sum Revenue</t>
  </si>
  <si>
    <t>3. Calculate Total Revenue using SUM.</t>
  </si>
  <si>
    <t>=SUM(H2:H26)                                                                                 Value      23240</t>
  </si>
  <si>
    <t>LOOKUP Table</t>
  </si>
  <si>
    <t>4. Calculate Average Revenue using AVERAGE.</t>
  </si>
  <si>
    <t>=AVERAGE(H2:H26)                                                                   Value        929.6</t>
  </si>
  <si>
    <t>5. Count total records using COUNTA.</t>
  </si>
  <si>
    <t>=COUNTA(A2:A26)                                                                     Value           25</t>
  </si>
  <si>
    <t>VLOOKUP</t>
  </si>
  <si>
    <t>6. Count numeric Revenue cells using COUNT.</t>
  </si>
  <si>
    <t>=COUNT(H2:H26)                                                                      Value         25</t>
  </si>
  <si>
    <t>Revenue of Total (%)</t>
  </si>
  <si>
    <t>7. COUNTIF: Orders from North region.</t>
  </si>
  <si>
    <t xml:space="preserve">=COUNT(C2:C26,"North")                                                           Value             6   </t>
  </si>
  <si>
    <t>High/Low Revenue</t>
  </si>
  <si>
    <t>8. SUMIF: Total Revenue for Electronics category.</t>
  </si>
  <si>
    <t>=SUMIF(E2:E26,"Electronics",H2:H26)                                         Value     16120</t>
  </si>
  <si>
    <t>SUM Revenue by Region</t>
  </si>
  <si>
    <t>9. AVERAGEIF: Average Units sold by Asha.</t>
  </si>
  <si>
    <t>=AVERAGEIF(B2:B26,"Asha",F2:F26)</t>
  </si>
  <si>
    <t>O1016</t>
  </si>
  <si>
    <t>10. Highlight Revenue &gt;1000 using Conditional Formatting.</t>
  </si>
  <si>
    <t>Amit</t>
  </si>
  <si>
    <t>Format-Conditional Formatting-Greater than-Type the value(1000)</t>
  </si>
  <si>
    <t>North</t>
  </si>
  <si>
    <t>Laptop</t>
  </si>
  <si>
    <t>Electronics</t>
  </si>
  <si>
    <t>11. Apply Color Scale to Revenue column.</t>
  </si>
  <si>
    <t>Format-Conditional Formatting-Color Scale</t>
  </si>
  <si>
    <t>12. Identify duplicate OrderID values using Conditional Formatting.</t>
  </si>
  <si>
    <t>Conditional Formatting- Custom Formula           =COUNTIF(A2:A26,A2)&gt;1</t>
  </si>
  <si>
    <t>13. Create a lookup table (unique Product &amp; Category) and use VLOOKUP to return Category.</t>
  </si>
  <si>
    <t>First, create a LOOKUP table by using = UNIQUE (D2:E26). Then =VLOOKUP(M2,$K$2:$L$8,2,FALSE)</t>
  </si>
  <si>
    <t>14. Repeat using XLOOKUP.</t>
  </si>
  <si>
    <t>=XLOOKUP(M14,$K$2:$K$8,$L$2:$L$8)</t>
  </si>
  <si>
    <t>15. Use QUERY to create a pivot: Sum of Revenue by Region.</t>
  </si>
  <si>
    <t>=QUERY(A1:H26,"select C, sum(H) grooup by label sum(H) 'Total Revenue' ", 1)</t>
  </si>
  <si>
    <t>16. Use SORT formula to display data by Units descending.</t>
  </si>
  <si>
    <t>=SORT(A2:H26,6,FALSE)</t>
  </si>
  <si>
    <t>17. Find highest and lowest Revenue (MAX/MIN).</t>
  </si>
  <si>
    <t>=MAX(H2:H26)             Value   3000                       MIN(H2:H26)        Value     200</t>
  </si>
  <si>
    <t>18. Calculate percentage contribution of each row Revenue to total.</t>
  </si>
  <si>
    <t>=H2/SUM($H$2:$H$26) Format the column as %</t>
  </si>
  <si>
    <t>19. Use IF to label Revenue &gt;=1000 as High else Low.</t>
  </si>
  <si>
    <t>=IF(H2&gt;=1000, "High","Low")</t>
  </si>
  <si>
    <t>20. Protect formula cells (optional).</t>
  </si>
  <si>
    <t>Select the Column-Data-Protect sheets and ranges</t>
  </si>
  <si>
    <t>O1001</t>
  </si>
  <si>
    <t>Asha</t>
  </si>
  <si>
    <t>Average Revenue</t>
  </si>
  <si>
    <t>Monitor</t>
  </si>
  <si>
    <t>XLOOKUP</t>
  </si>
  <si>
    <t>O1023</t>
  </si>
  <si>
    <t>Neha</t>
  </si>
  <si>
    <t>South</t>
  </si>
  <si>
    <t>Printer</t>
  </si>
  <si>
    <t>Office</t>
  </si>
  <si>
    <t>O1024</t>
  </si>
  <si>
    <t>East</t>
  </si>
  <si>
    <t>Total Revenue of Electronics</t>
  </si>
  <si>
    <t>Chair</t>
  </si>
  <si>
    <t>Furniture</t>
  </si>
  <si>
    <t>Mouse</t>
  </si>
  <si>
    <t>Accessories</t>
  </si>
  <si>
    <t>O1011</t>
  </si>
  <si>
    <t>Average Revenue of Electronics</t>
  </si>
  <si>
    <t>Keyboard</t>
  </si>
  <si>
    <t>O1004</t>
  </si>
  <si>
    <t>Desk</t>
  </si>
  <si>
    <t>O1006</t>
  </si>
  <si>
    <t>Ravi</t>
  </si>
  <si>
    <t>West</t>
  </si>
  <si>
    <t>MAX Revenue</t>
  </si>
  <si>
    <t>O1017</t>
  </si>
  <si>
    <t>O1012</t>
  </si>
  <si>
    <t>MIN Revenue</t>
  </si>
  <si>
    <t>O1010</t>
  </si>
  <si>
    <t>O1015</t>
  </si>
  <si>
    <t>Orders From North Region</t>
  </si>
  <si>
    <t>O1005</t>
  </si>
  <si>
    <t>O1007</t>
  </si>
  <si>
    <t>Count Total Records</t>
  </si>
  <si>
    <t>O1009</t>
  </si>
  <si>
    <t>O1003</t>
  </si>
  <si>
    <t>Count Numeric Revenue Cells</t>
  </si>
  <si>
    <t>O1022</t>
  </si>
  <si>
    <t>O1018</t>
  </si>
  <si>
    <t>O1020</t>
  </si>
  <si>
    <t>O1002</t>
  </si>
  <si>
    <t>O1008</t>
  </si>
  <si>
    <t>O1021</t>
  </si>
  <si>
    <t>O1019</t>
  </si>
  <si>
    <t>O1013</t>
  </si>
  <si>
    <t>O1014</t>
  </si>
  <si>
    <t>Use the SHORT formula to display data by Units descending 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</si>
</sst>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4.0"/>
      <color theme="1"/>
      <name val="Calibri"/>
    </font>
    <font>
      <b/>
      <sz val="14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rgb="FF000000"/>
      <name val="Arial"/>
      <scheme val="minor"/>
    </font>
  </fonts>
  <fills count="2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B7E1CD"/>
        <bgColor rgb="FFB7E1CD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A4C2F4"/>
        <bgColor rgb="FFA4C2F4"/>
      </patternFill>
    </fill>
    <fill>
      <patternFill patternType="solid">
        <fgColor theme="9"/>
        <bgColor theme="9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D9D9D9"/>
        <bgColor rgb="FFD9D9D9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93C47D"/>
        <bgColor rgb="FF93C47D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57BB8A"/>
        <bgColor rgb="FF57BB8A"/>
      </patternFill>
    </fill>
    <fill>
      <patternFill patternType="solid">
        <fgColor rgb="FFD9EAD3"/>
        <bgColor rgb="FFD9EAD3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vertical="bottom"/>
    </xf>
    <xf borderId="0" fillId="0" fontId="4" numFmtId="0" xfId="0" applyAlignment="1" applyFont="1">
      <alignment vertical="bottom"/>
    </xf>
    <xf borderId="0" fillId="3" fontId="5" numFmtId="0" xfId="0" applyAlignment="1" applyFont="1">
      <alignment readingOrder="0"/>
    </xf>
    <xf borderId="0" fillId="4" fontId="5" numFmtId="0" xfId="0" applyAlignment="1" applyFill="1" applyFont="1">
      <alignment readingOrder="0"/>
    </xf>
    <xf borderId="0" fillId="5" fontId="6" numFmtId="0" xfId="0" applyAlignment="1" applyFill="1" applyFont="1">
      <alignment readingOrder="0"/>
    </xf>
    <xf quotePrefix="1" borderId="0" fillId="6" fontId="5" numFmtId="0" xfId="0" applyAlignment="1" applyFill="1" applyFont="1">
      <alignment readingOrder="0"/>
    </xf>
    <xf quotePrefix="1" borderId="0" fillId="7" fontId="5" numFmtId="0" xfId="0" applyAlignment="1" applyFill="1" applyFont="1">
      <alignment readingOrder="0"/>
    </xf>
    <xf borderId="0" fillId="6" fontId="6" numFmtId="0" xfId="0" applyAlignment="1" applyFont="1">
      <alignment readingOrder="0"/>
    </xf>
    <xf quotePrefix="1" borderId="0" fillId="8" fontId="5" numFmtId="0" xfId="0" applyAlignment="1" applyFill="1" applyFont="1">
      <alignment readingOrder="0"/>
    </xf>
    <xf borderId="0" fillId="2" fontId="6" numFmtId="0" xfId="0" applyAlignment="1" applyFont="1">
      <alignment readingOrder="0"/>
    </xf>
    <xf quotePrefix="1" borderId="0" fillId="9" fontId="5" numFmtId="0" xfId="0" applyAlignment="1" applyFill="1" applyFont="1">
      <alignment readingOrder="0"/>
    </xf>
    <xf borderId="0" fillId="10" fontId="6" numFmtId="0" xfId="0" applyAlignment="1" applyFill="1" applyFont="1">
      <alignment readingOrder="0"/>
    </xf>
    <xf quotePrefix="1" borderId="0" fillId="11" fontId="5" numFmtId="0" xfId="0" applyAlignment="1" applyFill="1" applyFont="1">
      <alignment readingOrder="0"/>
    </xf>
    <xf borderId="0" fillId="12" fontId="6" numFmtId="0" xfId="0" applyAlignment="1" applyFill="1" applyFont="1">
      <alignment readingOrder="0"/>
    </xf>
    <xf quotePrefix="1" borderId="0" fillId="13" fontId="5" numFmtId="0" xfId="0" applyAlignment="1" applyFill="1" applyFont="1">
      <alignment readingOrder="0"/>
    </xf>
    <xf borderId="0" fillId="8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14" fontId="3" numFmtId="0" xfId="0" applyAlignment="1" applyFill="1" applyFont="1">
      <alignment vertical="bottom"/>
    </xf>
    <xf quotePrefix="1" borderId="0" fillId="15" fontId="5" numFmtId="0" xfId="0" applyAlignment="1" applyFill="1" applyFont="1">
      <alignment readingOrder="0"/>
    </xf>
    <xf borderId="0" fillId="8" fontId="5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16" fontId="5" numFmtId="0" xfId="0" applyAlignment="1" applyFill="1" applyFont="1">
      <alignment readingOrder="0"/>
    </xf>
    <xf quotePrefix="1" borderId="0" fillId="12" fontId="5" numFmtId="0" xfId="0" applyAlignment="1" applyFont="1">
      <alignment readingOrder="0"/>
    </xf>
    <xf quotePrefix="1" borderId="0" fillId="17" fontId="5" numFmtId="0" xfId="0" applyAlignment="1" applyFill="1" applyFont="1">
      <alignment readingOrder="0"/>
    </xf>
    <xf quotePrefix="1" borderId="0" fillId="18" fontId="5" numFmtId="0" xfId="0" applyAlignment="1" applyFill="1" applyFont="1">
      <alignment readingOrder="0"/>
    </xf>
    <xf borderId="0" fillId="5" fontId="7" numFmtId="0" xfId="0" applyFont="1"/>
    <xf quotePrefix="1" borderId="0" fillId="19" fontId="5" numFmtId="0" xfId="0" applyAlignment="1" applyFill="1" applyFont="1">
      <alignment readingOrder="0"/>
    </xf>
    <xf quotePrefix="1" borderId="0" fillId="20" fontId="5" numFmtId="0" xfId="0" applyAlignment="1" applyFill="1" applyFont="1">
      <alignment readingOrder="0"/>
    </xf>
    <xf borderId="0" fillId="4" fontId="7" numFmtId="0" xfId="0" applyAlignment="1" applyFont="1">
      <alignment readingOrder="0"/>
    </xf>
    <xf borderId="0" fillId="17" fontId="8" numFmtId="0" xfId="0" applyAlignment="1" applyFont="1">
      <alignment readingOrder="0"/>
    </xf>
    <xf borderId="0" fillId="4" fontId="7" numFmtId="0" xfId="0" applyFont="1"/>
    <xf borderId="0" fillId="2" fontId="7" numFmtId="0" xfId="0" applyAlignment="1" applyFont="1">
      <alignment readingOrder="0"/>
    </xf>
    <xf borderId="0" fillId="2" fontId="7" numFmtId="0" xfId="0" applyFont="1"/>
    <xf borderId="0" fillId="21" fontId="7" numFmtId="10" xfId="0" applyFill="1" applyFont="1" applyNumberFormat="1"/>
    <xf borderId="0" fillId="12" fontId="7" numFmtId="0" xfId="0" applyAlignment="1" applyFont="1">
      <alignment readingOrder="0"/>
    </xf>
    <xf borderId="0" fillId="22" fontId="7" numFmtId="0" xfId="0" applyFill="1" applyFont="1"/>
    <xf borderId="0" fillId="23" fontId="7" numFmtId="0" xfId="0" applyFill="1" applyFont="1"/>
    <xf borderId="0" fillId="6" fontId="7" numFmtId="0" xfId="0" applyFont="1"/>
    <xf borderId="0" fillId="6" fontId="7" numFmtId="0" xfId="0" applyAlignment="1" applyFont="1">
      <alignment readingOrder="0"/>
    </xf>
    <xf borderId="0" fillId="24" fontId="6" numFmtId="0" xfId="0" applyAlignment="1" applyFill="1" applyFont="1">
      <alignment readingOrder="0"/>
    </xf>
    <xf borderId="0" fillId="18" fontId="6" numFmtId="0" xfId="0" applyAlignment="1" applyFont="1">
      <alignment readingOrder="0"/>
    </xf>
    <xf borderId="0" fillId="24" fontId="6" numFmtId="0" xfId="0" applyFont="1"/>
    <xf borderId="0" fillId="18" fontId="7" numFmtId="0" xfId="0" applyAlignment="1" applyFont="1">
      <alignment readingOrder="0"/>
    </xf>
    <xf borderId="0" fillId="18" fontId="7" numFmtId="0" xfId="0" applyFont="1"/>
    <xf borderId="0" fillId="25" fontId="6" numFmtId="0" xfId="0" applyAlignment="1" applyFill="1" applyFont="1">
      <alignment readingOrder="0"/>
    </xf>
    <xf borderId="0" fillId="25" fontId="7" numFmtId="0" xfId="0" applyFont="1"/>
    <xf borderId="0" fillId="25" fontId="7" numFmtId="0" xfId="0" applyAlignment="1" applyFont="1">
      <alignment readingOrder="0"/>
    </xf>
    <xf borderId="0" fillId="14" fontId="7" numFmtId="0" xfId="0" applyFont="1"/>
    <xf borderId="0" fillId="10" fontId="9" numFmtId="0" xfId="0" applyAlignment="1" applyFont="1">
      <alignment readingOrder="0"/>
    </xf>
    <xf borderId="0" fillId="10" fontId="7" numFmtId="0" xfId="0" applyAlignment="1" applyFont="1">
      <alignment readingOrder="0"/>
    </xf>
    <xf borderId="0" fillId="10" fontId="7" numFmtId="0" xfId="0" applyFont="1"/>
    <xf borderId="0" fillId="12" fontId="7" numFmtId="0" xfId="0" applyFont="1"/>
    <xf borderId="0" fillId="26" fontId="7" numFmtId="0" xfId="0" applyAlignment="1" applyFill="1" applyFont="1">
      <alignment readingOrder="0"/>
    </xf>
    <xf borderId="0" fillId="26" fontId="7" numFmtId="0" xfId="0" applyFont="1"/>
    <xf borderId="0" fillId="4" fontId="6" numFmtId="0" xfId="0" applyAlignment="1" applyFont="1">
      <alignment readingOrder="0"/>
    </xf>
    <xf borderId="0" fillId="14" fontId="6" numFmtId="0" xfId="0" applyAlignment="1" applyFont="1">
      <alignment readingOrder="0"/>
    </xf>
    <xf borderId="0" fillId="26" fontId="5" numFmtId="0" xfId="0" applyAlignment="1" applyFont="1">
      <alignment readingOrder="0"/>
    </xf>
    <xf borderId="0" fillId="0" fontId="7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27.0"/>
    <col customWidth="1" min="10" max="10" width="15.38"/>
    <col customWidth="1" min="11" max="11" width="21.0"/>
    <col customWidth="1" min="15" max="15" width="19.88"/>
    <col customWidth="1" min="16" max="16" width="21.5"/>
    <col customWidth="1" min="18" max="18" width="13.38"/>
    <col customWidth="1" min="19" max="20" width="0.38"/>
  </cols>
  <sheetData>
    <row r="1">
      <c r="A1" s="3" t="s">
        <v>1</v>
      </c>
      <c r="B1" s="3" t="s">
        <v>4</v>
      </c>
      <c r="C1" s="3" t="s">
        <v>6</v>
      </c>
      <c r="D1" s="3" t="s">
        <v>7</v>
      </c>
      <c r="E1" s="3" t="s">
        <v>8</v>
      </c>
      <c r="F1" s="3" t="s">
        <v>10</v>
      </c>
      <c r="G1" s="3" t="s">
        <v>12</v>
      </c>
      <c r="H1" s="3" t="s">
        <v>13</v>
      </c>
      <c r="I1" s="7" t="s">
        <v>14</v>
      </c>
      <c r="J1" s="3" t="s">
        <v>13</v>
      </c>
      <c r="K1" s="10" t="s">
        <v>17</v>
      </c>
      <c r="M1" s="12" t="s">
        <v>22</v>
      </c>
      <c r="O1" s="14" t="s">
        <v>25</v>
      </c>
      <c r="P1" s="16" t="s">
        <v>28</v>
      </c>
      <c r="Q1" s="18" t="s">
        <v>31</v>
      </c>
      <c r="S1" s="19"/>
      <c r="T1" s="20"/>
      <c r="U1" s="20"/>
      <c r="V1" s="20"/>
    </row>
    <row r="2">
      <c r="A2" s="4" t="s">
        <v>34</v>
      </c>
      <c r="B2" s="4" t="s">
        <v>36</v>
      </c>
      <c r="C2" s="4" t="s">
        <v>38</v>
      </c>
      <c r="D2" s="4" t="s">
        <v>39</v>
      </c>
      <c r="E2" s="4" t="s">
        <v>40</v>
      </c>
      <c r="F2" s="23">
        <v>6.0</v>
      </c>
      <c r="G2" s="23">
        <v>500.0</v>
      </c>
      <c r="H2" s="23">
        <v>3000.0</v>
      </c>
      <c r="I2" s="28">
        <f>SUM(H2:H26)</f>
        <v>23240</v>
      </c>
      <c r="J2" s="23">
        <v>3000.0</v>
      </c>
      <c r="K2" s="31" t="str">
        <f t="array" ref="K2:L8">UNIQUE((D2:E26))</f>
        <v>Laptop</v>
      </c>
      <c r="L2" s="33" t="s">
        <v>40</v>
      </c>
      <c r="M2" s="34" t="s">
        <v>39</v>
      </c>
      <c r="N2" s="35" t="str">
        <f>VLOOKUP(M2,$K$2:$L$8,2,FALSE)</f>
        <v>Electronics</v>
      </c>
      <c r="O2" s="36">
        <f t="shared" ref="O2:O26" si="1">H2/SUM($H$2:$H$26)</f>
        <v>0.1290877797</v>
      </c>
      <c r="P2" s="37" t="str">
        <f t="shared" ref="P2:P26" si="2">IF(H2&gt;=1000,"High", "Low")</f>
        <v>High</v>
      </c>
      <c r="Q2" s="38" t="str">
        <f>IFERROR(__xludf.DUMMYFUNCTION("QUERY(A1:H26, ""SELECT C, SUM(H) WHERE C IS NOT NULL GROUP BY C"", 1)"),"Region")</f>
        <v>Region</v>
      </c>
      <c r="R2" s="38" t="str">
        <f>IFERROR(__xludf.DUMMYFUNCTION("""COMPUTED_VALUE"""),"sum Revenue")</f>
        <v>sum Revenue</v>
      </c>
      <c r="T2" s="23"/>
      <c r="U2" s="4"/>
      <c r="V2" s="4"/>
    </row>
    <row r="3">
      <c r="A3" s="4" t="s">
        <v>61</v>
      </c>
      <c r="B3" s="4" t="s">
        <v>62</v>
      </c>
      <c r="C3" s="4" t="s">
        <v>38</v>
      </c>
      <c r="D3" s="4" t="s">
        <v>39</v>
      </c>
      <c r="E3" s="4" t="s">
        <v>40</v>
      </c>
      <c r="F3" s="23">
        <v>5.0</v>
      </c>
      <c r="G3" s="23">
        <v>500.0</v>
      </c>
      <c r="H3" s="23">
        <v>2500.0</v>
      </c>
      <c r="I3" s="10" t="s">
        <v>63</v>
      </c>
      <c r="J3" s="23">
        <v>2500.0</v>
      </c>
      <c r="K3" s="33" t="s">
        <v>64</v>
      </c>
      <c r="L3" s="33" t="s">
        <v>40</v>
      </c>
      <c r="M3" s="10" t="s">
        <v>65</v>
      </c>
      <c r="O3" s="36">
        <f t="shared" si="1"/>
        <v>0.1075731497</v>
      </c>
      <c r="P3" s="37" t="str">
        <f t="shared" si="2"/>
        <v>High</v>
      </c>
      <c r="Q3" s="39" t="str">
        <f>IFERROR(__xludf.DUMMYFUNCTION("""COMPUTED_VALUE"""),"East")</f>
        <v>East</v>
      </c>
      <c r="R3" s="39">
        <f>IFERROR(__xludf.DUMMYFUNCTION("""COMPUTED_VALUE"""),6960.0)</f>
        <v>6960</v>
      </c>
      <c r="T3" s="23"/>
      <c r="U3" s="4"/>
      <c r="V3" s="4"/>
    </row>
    <row r="4">
      <c r="A4" s="4" t="s">
        <v>66</v>
      </c>
      <c r="B4" s="4" t="s">
        <v>67</v>
      </c>
      <c r="C4" s="4" t="s">
        <v>68</v>
      </c>
      <c r="D4" s="4" t="s">
        <v>39</v>
      </c>
      <c r="E4" s="4" t="s">
        <v>40</v>
      </c>
      <c r="F4" s="23">
        <v>4.0</v>
      </c>
      <c r="G4" s="23">
        <v>500.0</v>
      </c>
      <c r="H4" s="23">
        <v>2000.0</v>
      </c>
      <c r="I4" s="40">
        <f>AVERAGE(H2:H26)</f>
        <v>929.6</v>
      </c>
      <c r="J4" s="23">
        <v>2000.0</v>
      </c>
      <c r="K4" s="33" t="s">
        <v>69</v>
      </c>
      <c r="L4" s="33" t="s">
        <v>70</v>
      </c>
      <c r="M4" s="41" t="s">
        <v>39</v>
      </c>
      <c r="N4" s="40" t="str">
        <f t="array" ref="N4">XLOOKUP(M4,$K$2:$K$8,$L$2:$L$8)</f>
        <v>Electronics</v>
      </c>
      <c r="O4" s="36">
        <f t="shared" si="1"/>
        <v>0.08605851979</v>
      </c>
      <c r="P4" s="37" t="str">
        <f t="shared" si="2"/>
        <v>High</v>
      </c>
      <c r="Q4" s="39" t="str">
        <f>IFERROR(__xludf.DUMMYFUNCTION("""COMPUTED_VALUE"""),"North")</f>
        <v>North</v>
      </c>
      <c r="R4" s="39">
        <f>IFERROR(__xludf.DUMMYFUNCTION("""COMPUTED_VALUE"""),7580.0)</f>
        <v>7580</v>
      </c>
      <c r="T4" s="23"/>
      <c r="U4" s="4"/>
      <c r="V4" s="4"/>
    </row>
    <row r="5">
      <c r="A5" s="4" t="s">
        <v>71</v>
      </c>
      <c r="B5" s="4" t="s">
        <v>36</v>
      </c>
      <c r="C5" s="4" t="s">
        <v>72</v>
      </c>
      <c r="D5" s="4" t="s">
        <v>64</v>
      </c>
      <c r="E5" s="4" t="s">
        <v>40</v>
      </c>
      <c r="F5" s="23">
        <v>9.0</v>
      </c>
      <c r="G5" s="23">
        <v>180.0</v>
      </c>
      <c r="H5" s="23">
        <v>1620.0</v>
      </c>
      <c r="I5" s="42" t="s">
        <v>73</v>
      </c>
      <c r="J5" s="23">
        <v>1620.0</v>
      </c>
      <c r="K5" s="33" t="s">
        <v>74</v>
      </c>
      <c r="L5" s="33" t="s">
        <v>75</v>
      </c>
      <c r="M5" s="43" t="s">
        <v>22</v>
      </c>
      <c r="O5" s="36">
        <f t="shared" si="1"/>
        <v>0.06970740103</v>
      </c>
      <c r="P5" s="37" t="str">
        <f t="shared" si="2"/>
        <v>High</v>
      </c>
      <c r="Q5" s="39" t="str">
        <f>IFERROR(__xludf.DUMMYFUNCTION("""COMPUTED_VALUE"""),"South")</f>
        <v>South</v>
      </c>
      <c r="R5" s="39">
        <f>IFERROR(__xludf.DUMMYFUNCTION("""COMPUTED_VALUE"""),5140.0)</f>
        <v>5140</v>
      </c>
      <c r="T5" s="23"/>
      <c r="U5" s="4"/>
      <c r="V5" s="4"/>
    </row>
    <row r="6">
      <c r="A6" s="4" t="s">
        <v>71</v>
      </c>
      <c r="B6" s="4" t="s">
        <v>36</v>
      </c>
      <c r="C6" s="4" t="s">
        <v>72</v>
      </c>
      <c r="D6" s="4" t="s">
        <v>64</v>
      </c>
      <c r="E6" s="4" t="s">
        <v>40</v>
      </c>
      <c r="F6" s="23">
        <v>9.0</v>
      </c>
      <c r="G6" s="23">
        <v>180.0</v>
      </c>
      <c r="H6" s="23">
        <v>1620.0</v>
      </c>
      <c r="I6" s="44">
        <f>SUMIF(E2:E26,"Electronics",H2:H26)</f>
        <v>16120</v>
      </c>
      <c r="J6" s="23">
        <v>1620.0</v>
      </c>
      <c r="K6" s="33" t="s">
        <v>76</v>
      </c>
      <c r="L6" s="33" t="s">
        <v>77</v>
      </c>
      <c r="M6" s="45" t="s">
        <v>64</v>
      </c>
      <c r="N6" s="46" t="str">
        <f>VLOOKUP(M6,$K$2:$L$8,2,FALSE)</f>
        <v>Electronics</v>
      </c>
      <c r="O6" s="36">
        <f t="shared" si="1"/>
        <v>0.06970740103</v>
      </c>
      <c r="P6" s="37" t="str">
        <f t="shared" si="2"/>
        <v>High</v>
      </c>
      <c r="Q6" s="39" t="str">
        <f>IFERROR(__xludf.DUMMYFUNCTION("""COMPUTED_VALUE"""),"West")</f>
        <v>West</v>
      </c>
      <c r="R6" s="39">
        <f>IFERROR(__xludf.DUMMYFUNCTION("""COMPUTED_VALUE"""),3560.0)</f>
        <v>3560</v>
      </c>
      <c r="T6" s="23"/>
      <c r="U6" s="4"/>
      <c r="V6" s="4"/>
    </row>
    <row r="7">
      <c r="A7" s="4" t="s">
        <v>78</v>
      </c>
      <c r="B7" s="4" t="s">
        <v>67</v>
      </c>
      <c r="C7" s="4" t="s">
        <v>72</v>
      </c>
      <c r="D7" s="4" t="s">
        <v>39</v>
      </c>
      <c r="E7" s="4" t="s">
        <v>40</v>
      </c>
      <c r="F7" s="23">
        <v>3.0</v>
      </c>
      <c r="G7" s="23">
        <v>500.0</v>
      </c>
      <c r="H7" s="23">
        <v>1500.0</v>
      </c>
      <c r="I7" s="10" t="s">
        <v>79</v>
      </c>
      <c r="J7" s="23">
        <v>1500.0</v>
      </c>
      <c r="K7" s="33" t="s">
        <v>80</v>
      </c>
      <c r="L7" s="33" t="s">
        <v>77</v>
      </c>
      <c r="M7" s="47" t="s">
        <v>65</v>
      </c>
      <c r="N7" s="48"/>
      <c r="O7" s="36">
        <f t="shared" si="1"/>
        <v>0.06454388985</v>
      </c>
      <c r="P7" s="37" t="str">
        <f t="shared" si="2"/>
        <v>High</v>
      </c>
      <c r="T7" s="23"/>
      <c r="U7" s="4"/>
      <c r="V7" s="4"/>
    </row>
    <row r="8">
      <c r="A8" s="4" t="s">
        <v>81</v>
      </c>
      <c r="B8" s="4" t="s">
        <v>36</v>
      </c>
      <c r="C8" s="4" t="s">
        <v>72</v>
      </c>
      <c r="D8" s="4" t="s">
        <v>64</v>
      </c>
      <c r="E8" s="4" t="s">
        <v>40</v>
      </c>
      <c r="F8" s="23">
        <v>7.0</v>
      </c>
      <c r="G8" s="23">
        <v>180.0</v>
      </c>
      <c r="H8" s="23">
        <v>1260.0</v>
      </c>
      <c r="I8" s="40">
        <f>AVERAGEIF(E2:E26,"Electronics",H2:H26)</f>
        <v>1612</v>
      </c>
      <c r="J8" s="23">
        <v>1260.0</v>
      </c>
      <c r="K8" s="33" t="s">
        <v>82</v>
      </c>
      <c r="L8" s="33" t="s">
        <v>75</v>
      </c>
      <c r="M8" s="49" t="s">
        <v>64</v>
      </c>
      <c r="N8" s="48" t="str">
        <f t="array" ref="N8">XLOOKUP(M8,$K$2:$K$8,$L$2:$L$8)</f>
        <v>Electronics</v>
      </c>
      <c r="O8" s="36">
        <f t="shared" si="1"/>
        <v>0.05421686747</v>
      </c>
      <c r="P8" s="37" t="str">
        <f t="shared" si="2"/>
        <v>High</v>
      </c>
      <c r="T8" s="23"/>
      <c r="U8" s="4"/>
      <c r="V8" s="4"/>
    </row>
    <row r="9">
      <c r="A9" s="4" t="s">
        <v>83</v>
      </c>
      <c r="B9" s="4" t="s">
        <v>84</v>
      </c>
      <c r="C9" s="4" t="s">
        <v>85</v>
      </c>
      <c r="D9" s="4" t="s">
        <v>39</v>
      </c>
      <c r="E9" s="4" t="s">
        <v>40</v>
      </c>
      <c r="F9" s="23">
        <v>2.0</v>
      </c>
      <c r="G9" s="23">
        <v>500.0</v>
      </c>
      <c r="H9" s="23">
        <v>1000.0</v>
      </c>
      <c r="I9" s="12" t="s">
        <v>86</v>
      </c>
      <c r="J9" s="23">
        <v>1000.0</v>
      </c>
      <c r="K9" s="50"/>
      <c r="L9" s="50"/>
      <c r="M9" s="51" t="s">
        <v>22</v>
      </c>
      <c r="O9" s="36">
        <f t="shared" si="1"/>
        <v>0.0430292599</v>
      </c>
      <c r="P9" s="37" t="str">
        <f t="shared" si="2"/>
        <v>High</v>
      </c>
      <c r="T9" s="23"/>
      <c r="U9" s="4"/>
      <c r="V9" s="4"/>
    </row>
    <row r="10">
      <c r="A10" s="4" t="s">
        <v>87</v>
      </c>
      <c r="B10" s="4" t="s">
        <v>62</v>
      </c>
      <c r="C10" s="4" t="s">
        <v>68</v>
      </c>
      <c r="D10" s="4" t="s">
        <v>64</v>
      </c>
      <c r="E10" s="4" t="s">
        <v>40</v>
      </c>
      <c r="F10" s="23">
        <v>5.0</v>
      </c>
      <c r="G10" s="23">
        <v>180.0</v>
      </c>
      <c r="H10" s="23">
        <v>900.0</v>
      </c>
      <c r="I10" s="35">
        <f>MAX(H2:H26)</f>
        <v>3000</v>
      </c>
      <c r="J10" s="23">
        <v>900.0</v>
      </c>
      <c r="K10" s="50"/>
      <c r="L10" s="50"/>
      <c r="M10" s="52" t="s">
        <v>69</v>
      </c>
      <c r="N10" s="53" t="str">
        <f>VLOOKUP(M10,$K$2:$L$8,2,FALSE)</f>
        <v>Office</v>
      </c>
      <c r="O10" s="36">
        <f t="shared" si="1"/>
        <v>0.03872633391</v>
      </c>
      <c r="P10" s="37" t="str">
        <f t="shared" si="2"/>
        <v>Low</v>
      </c>
      <c r="T10" s="23"/>
      <c r="U10" s="4"/>
      <c r="V10" s="4"/>
    </row>
    <row r="11">
      <c r="A11" s="4" t="s">
        <v>88</v>
      </c>
      <c r="B11" s="4" t="s">
        <v>36</v>
      </c>
      <c r="C11" s="4" t="s">
        <v>68</v>
      </c>
      <c r="D11" s="4" t="s">
        <v>69</v>
      </c>
      <c r="E11" s="4" t="s">
        <v>70</v>
      </c>
      <c r="F11" s="23">
        <v>4.0</v>
      </c>
      <c r="G11" s="23">
        <v>220.0</v>
      </c>
      <c r="H11" s="23">
        <v>880.0</v>
      </c>
      <c r="I11" s="16" t="s">
        <v>89</v>
      </c>
      <c r="J11" s="23">
        <v>880.0</v>
      </c>
      <c r="M11" s="12" t="s">
        <v>65</v>
      </c>
      <c r="N11" s="35"/>
      <c r="O11" s="36">
        <f t="shared" si="1"/>
        <v>0.03786574871</v>
      </c>
      <c r="P11" s="37" t="str">
        <f t="shared" si="2"/>
        <v>Low</v>
      </c>
      <c r="T11" s="23"/>
      <c r="U11" s="4"/>
      <c r="V11" s="4"/>
    </row>
    <row r="12">
      <c r="A12" s="4" t="s">
        <v>90</v>
      </c>
      <c r="B12" s="4" t="s">
        <v>84</v>
      </c>
      <c r="C12" s="4" t="s">
        <v>38</v>
      </c>
      <c r="D12" s="4" t="s">
        <v>64</v>
      </c>
      <c r="E12" s="4" t="s">
        <v>40</v>
      </c>
      <c r="F12" s="23">
        <v>4.0</v>
      </c>
      <c r="G12" s="23">
        <v>180.0</v>
      </c>
      <c r="H12" s="23">
        <v>720.0</v>
      </c>
      <c r="I12" s="54">
        <f>MIN(H2:H26)</f>
        <v>200</v>
      </c>
      <c r="J12" s="23">
        <v>720.0</v>
      </c>
      <c r="M12" s="34" t="s">
        <v>69</v>
      </c>
      <c r="N12" s="35" t="str">
        <f t="array" ref="N12">XLOOKUP(M12,$K$2:$K$8,$L$2:$L$8)</f>
        <v>Office</v>
      </c>
      <c r="O12" s="36">
        <f t="shared" si="1"/>
        <v>0.03098106713</v>
      </c>
      <c r="P12" s="37" t="str">
        <f t="shared" si="2"/>
        <v>Low</v>
      </c>
      <c r="T12" s="23"/>
      <c r="U12" s="4"/>
      <c r="V12" s="4"/>
    </row>
    <row r="13">
      <c r="A13" s="4" t="s">
        <v>91</v>
      </c>
      <c r="B13" s="4" t="s">
        <v>67</v>
      </c>
      <c r="C13" s="4" t="s">
        <v>85</v>
      </c>
      <c r="D13" s="4" t="s">
        <v>74</v>
      </c>
      <c r="E13" s="4" t="s">
        <v>75</v>
      </c>
      <c r="F13" s="23">
        <v>8.0</v>
      </c>
      <c r="G13" s="23">
        <v>90.0</v>
      </c>
      <c r="H13" s="23">
        <v>720.0</v>
      </c>
      <c r="I13" s="55" t="s">
        <v>92</v>
      </c>
      <c r="J13" s="23">
        <v>720.0</v>
      </c>
      <c r="M13" s="16" t="s">
        <v>22</v>
      </c>
      <c r="O13" s="36">
        <f t="shared" si="1"/>
        <v>0.03098106713</v>
      </c>
      <c r="P13" s="37" t="str">
        <f t="shared" si="2"/>
        <v>Low</v>
      </c>
      <c r="T13" s="23"/>
      <c r="U13" s="4"/>
      <c r="V13" s="4"/>
    </row>
    <row r="14">
      <c r="A14" s="4" t="s">
        <v>93</v>
      </c>
      <c r="B14" s="4" t="s">
        <v>62</v>
      </c>
      <c r="C14" s="4" t="s">
        <v>38</v>
      </c>
      <c r="D14" s="4" t="s">
        <v>69</v>
      </c>
      <c r="E14" s="4" t="s">
        <v>70</v>
      </c>
      <c r="F14" s="23">
        <v>3.0</v>
      </c>
      <c r="G14" s="23">
        <v>220.0</v>
      </c>
      <c r="H14" s="23">
        <v>660.0</v>
      </c>
      <c r="I14" s="56">
        <f>COUNTIF(C2:C26,"North")</f>
        <v>6</v>
      </c>
      <c r="J14" s="23">
        <v>660.0</v>
      </c>
      <c r="M14" s="37" t="s">
        <v>74</v>
      </c>
      <c r="N14" s="54" t="str">
        <f>VLOOKUP(M14,$K$2:$L$8,2,FALSE)</f>
        <v>Furniture</v>
      </c>
      <c r="O14" s="36">
        <f t="shared" si="1"/>
        <v>0.02839931153</v>
      </c>
      <c r="P14" s="37" t="str">
        <f t="shared" si="2"/>
        <v>Low</v>
      </c>
      <c r="T14" s="23"/>
      <c r="U14" s="4"/>
      <c r="V14" s="4"/>
    </row>
    <row r="15">
      <c r="A15" s="4" t="s">
        <v>94</v>
      </c>
      <c r="B15" s="4" t="s">
        <v>67</v>
      </c>
      <c r="C15" s="4" t="s">
        <v>68</v>
      </c>
      <c r="D15" s="4" t="s">
        <v>74</v>
      </c>
      <c r="E15" s="4" t="s">
        <v>75</v>
      </c>
      <c r="F15" s="23">
        <v>6.0</v>
      </c>
      <c r="G15" s="23">
        <v>90.0</v>
      </c>
      <c r="H15" s="23">
        <v>540.0</v>
      </c>
      <c r="I15" s="10" t="s">
        <v>95</v>
      </c>
      <c r="J15" s="23">
        <v>540.0</v>
      </c>
      <c r="M15" s="10" t="s">
        <v>65</v>
      </c>
      <c r="O15" s="36">
        <f t="shared" si="1"/>
        <v>0.02323580034</v>
      </c>
      <c r="P15" s="37" t="str">
        <f t="shared" si="2"/>
        <v>Low</v>
      </c>
      <c r="T15" s="23"/>
      <c r="U15" s="4"/>
      <c r="V15" s="4"/>
    </row>
    <row r="16">
      <c r="A16" s="4" t="s">
        <v>96</v>
      </c>
      <c r="B16" s="4" t="s">
        <v>62</v>
      </c>
      <c r="C16" s="4" t="s">
        <v>85</v>
      </c>
      <c r="D16" s="4" t="s">
        <v>76</v>
      </c>
      <c r="E16" s="4" t="s">
        <v>77</v>
      </c>
      <c r="F16" s="23">
        <v>25.0</v>
      </c>
      <c r="G16" s="23">
        <v>20.0</v>
      </c>
      <c r="H16" s="23">
        <v>500.0</v>
      </c>
      <c r="I16" s="40">
        <f>COUNTA(A2:A26)</f>
        <v>25</v>
      </c>
      <c r="J16" s="23">
        <v>500.0</v>
      </c>
      <c r="M16" s="41" t="s">
        <v>74</v>
      </c>
      <c r="N16" s="40" t="str">
        <f>VLOOKUP(M16,$K$2:$L$8,2,FALSE)</f>
        <v>Furniture</v>
      </c>
      <c r="O16" s="36">
        <f t="shared" si="1"/>
        <v>0.02151462995</v>
      </c>
      <c r="P16" s="37" t="str">
        <f t="shared" si="2"/>
        <v>Low</v>
      </c>
      <c r="T16" s="23"/>
      <c r="U16" s="4"/>
      <c r="V16" s="4"/>
    </row>
    <row r="17">
      <c r="A17" s="4" t="s">
        <v>97</v>
      </c>
      <c r="B17" s="4" t="s">
        <v>67</v>
      </c>
      <c r="C17" s="4" t="s">
        <v>85</v>
      </c>
      <c r="D17" s="4" t="s">
        <v>80</v>
      </c>
      <c r="E17" s="4" t="s">
        <v>77</v>
      </c>
      <c r="F17" s="23">
        <v>15.0</v>
      </c>
      <c r="G17" s="23">
        <v>30.0</v>
      </c>
      <c r="H17" s="23">
        <v>450.0</v>
      </c>
      <c r="I17" s="57" t="s">
        <v>98</v>
      </c>
      <c r="J17" s="23">
        <v>450.0</v>
      </c>
      <c r="O17" s="36">
        <f t="shared" si="1"/>
        <v>0.01936316695</v>
      </c>
      <c r="P17" s="37" t="str">
        <f t="shared" si="2"/>
        <v>Low</v>
      </c>
      <c r="T17" s="23"/>
      <c r="U17" s="4"/>
      <c r="V17" s="4"/>
    </row>
    <row r="18">
      <c r="A18" s="4" t="s">
        <v>99</v>
      </c>
      <c r="B18" s="4" t="s">
        <v>84</v>
      </c>
      <c r="C18" s="4" t="s">
        <v>85</v>
      </c>
      <c r="D18" s="4" t="s">
        <v>74</v>
      </c>
      <c r="E18" s="4" t="s">
        <v>75</v>
      </c>
      <c r="F18" s="23">
        <v>5.0</v>
      </c>
      <c r="G18" s="23">
        <v>90.0</v>
      </c>
      <c r="H18" s="23">
        <v>450.0</v>
      </c>
      <c r="I18" s="57">
        <f>COUNT(H2:H26)</f>
        <v>25</v>
      </c>
      <c r="J18" s="23">
        <v>450.0</v>
      </c>
      <c r="O18" s="36">
        <f t="shared" si="1"/>
        <v>0.01936316695</v>
      </c>
      <c r="P18" s="37" t="str">
        <f t="shared" si="2"/>
        <v>Low</v>
      </c>
      <c r="T18" s="23"/>
      <c r="U18" s="4"/>
      <c r="V18" s="4"/>
    </row>
    <row r="19">
      <c r="A19" s="4" t="s">
        <v>100</v>
      </c>
      <c r="B19" s="4" t="s">
        <v>84</v>
      </c>
      <c r="C19" s="4" t="s">
        <v>85</v>
      </c>
      <c r="D19" s="4" t="s">
        <v>69</v>
      </c>
      <c r="E19" s="4" t="s">
        <v>70</v>
      </c>
      <c r="F19" s="23">
        <v>2.0</v>
      </c>
      <c r="G19" s="23">
        <v>220.0</v>
      </c>
      <c r="H19" s="23">
        <v>440.0</v>
      </c>
      <c r="I19" s="58"/>
      <c r="J19" s="23">
        <v>440.0</v>
      </c>
      <c r="O19" s="36">
        <f t="shared" si="1"/>
        <v>0.01893287435</v>
      </c>
      <c r="P19" s="37" t="str">
        <f t="shared" si="2"/>
        <v>Low</v>
      </c>
      <c r="T19" s="23"/>
      <c r="U19" s="4"/>
      <c r="V19" s="4"/>
    </row>
    <row r="20">
      <c r="A20" s="4" t="s">
        <v>101</v>
      </c>
      <c r="B20" s="4" t="s">
        <v>36</v>
      </c>
      <c r="C20" s="4" t="s">
        <v>68</v>
      </c>
      <c r="D20" s="4" t="s">
        <v>80</v>
      </c>
      <c r="E20" s="4" t="s">
        <v>77</v>
      </c>
      <c r="F20" s="23">
        <v>14.0</v>
      </c>
      <c r="G20" s="23">
        <v>30.0</v>
      </c>
      <c r="H20" s="23">
        <v>420.0</v>
      </c>
      <c r="I20" s="50"/>
      <c r="J20" s="23">
        <v>420.0</v>
      </c>
      <c r="O20" s="36">
        <f t="shared" si="1"/>
        <v>0.01807228916</v>
      </c>
      <c r="P20" s="37" t="str">
        <f t="shared" si="2"/>
        <v>Low</v>
      </c>
      <c r="T20" s="23"/>
      <c r="U20" s="4"/>
      <c r="V20" s="4"/>
    </row>
    <row r="21">
      <c r="A21" s="4" t="s">
        <v>102</v>
      </c>
      <c r="B21" s="4" t="s">
        <v>84</v>
      </c>
      <c r="C21" s="4" t="s">
        <v>68</v>
      </c>
      <c r="D21" s="4" t="s">
        <v>76</v>
      </c>
      <c r="E21" s="4" t="s">
        <v>77</v>
      </c>
      <c r="F21" s="23">
        <v>20.0</v>
      </c>
      <c r="G21" s="23">
        <v>20.0</v>
      </c>
      <c r="H21" s="23">
        <v>400.0</v>
      </c>
      <c r="J21" s="23">
        <v>400.0</v>
      </c>
      <c r="O21" s="36">
        <f t="shared" si="1"/>
        <v>0.01721170396</v>
      </c>
      <c r="P21" s="37" t="str">
        <f t="shared" si="2"/>
        <v>Low</v>
      </c>
      <c r="T21" s="23"/>
      <c r="U21" s="4"/>
      <c r="V21" s="4"/>
    </row>
    <row r="22">
      <c r="A22" s="4" t="s">
        <v>103</v>
      </c>
      <c r="B22" s="4" t="s">
        <v>36</v>
      </c>
      <c r="C22" s="4" t="s">
        <v>72</v>
      </c>
      <c r="D22" s="4" t="s">
        <v>82</v>
      </c>
      <c r="E22" s="4" t="s">
        <v>75</v>
      </c>
      <c r="F22" s="23">
        <v>2.0</v>
      </c>
      <c r="G22" s="23">
        <v>200.0</v>
      </c>
      <c r="H22" s="23">
        <v>400.0</v>
      </c>
      <c r="J22" s="23">
        <v>400.0</v>
      </c>
      <c r="O22" s="36">
        <f t="shared" si="1"/>
        <v>0.01721170396</v>
      </c>
      <c r="P22" s="37" t="str">
        <f t="shared" si="2"/>
        <v>Low</v>
      </c>
      <c r="T22" s="23"/>
      <c r="U22" s="4"/>
      <c r="V22" s="4"/>
    </row>
    <row r="23">
      <c r="A23" s="4" t="s">
        <v>104</v>
      </c>
      <c r="B23" s="4" t="s">
        <v>62</v>
      </c>
      <c r="C23" s="4" t="s">
        <v>38</v>
      </c>
      <c r="D23" s="4" t="s">
        <v>82</v>
      </c>
      <c r="E23" s="4" t="s">
        <v>75</v>
      </c>
      <c r="F23" s="23">
        <v>2.0</v>
      </c>
      <c r="G23" s="23">
        <v>200.0</v>
      </c>
      <c r="H23" s="23">
        <v>400.0</v>
      </c>
      <c r="J23" s="23">
        <v>400.0</v>
      </c>
      <c r="O23" s="36">
        <f t="shared" si="1"/>
        <v>0.01721170396</v>
      </c>
      <c r="P23" s="37" t="str">
        <f t="shared" si="2"/>
        <v>Low</v>
      </c>
      <c r="T23" s="23"/>
      <c r="U23" s="4"/>
      <c r="V23" s="4"/>
    </row>
    <row r="24">
      <c r="A24" s="4" t="s">
        <v>105</v>
      </c>
      <c r="B24" s="4" t="s">
        <v>67</v>
      </c>
      <c r="C24" s="4" t="s">
        <v>72</v>
      </c>
      <c r="D24" s="4" t="s">
        <v>76</v>
      </c>
      <c r="E24" s="4" t="s">
        <v>77</v>
      </c>
      <c r="F24" s="23">
        <v>18.0</v>
      </c>
      <c r="G24" s="23">
        <v>20.0</v>
      </c>
      <c r="H24" s="23">
        <v>360.0</v>
      </c>
      <c r="J24" s="23">
        <v>360.0</v>
      </c>
      <c r="O24" s="36">
        <f t="shared" si="1"/>
        <v>0.01549053356</v>
      </c>
      <c r="P24" s="37" t="str">
        <f t="shared" si="2"/>
        <v>Low</v>
      </c>
      <c r="T24" s="23"/>
      <c r="U24" s="4"/>
      <c r="V24" s="4"/>
    </row>
    <row r="25">
      <c r="A25" s="4" t="s">
        <v>106</v>
      </c>
      <c r="B25" s="4" t="s">
        <v>62</v>
      </c>
      <c r="C25" s="4" t="s">
        <v>38</v>
      </c>
      <c r="D25" s="4" t="s">
        <v>80</v>
      </c>
      <c r="E25" s="4" t="s">
        <v>77</v>
      </c>
      <c r="F25" s="23">
        <v>10.0</v>
      </c>
      <c r="G25" s="23">
        <v>30.0</v>
      </c>
      <c r="H25" s="23">
        <v>300.0</v>
      </c>
      <c r="J25" s="23">
        <v>300.0</v>
      </c>
      <c r="O25" s="36">
        <f t="shared" si="1"/>
        <v>0.01290877797</v>
      </c>
      <c r="P25" s="37" t="str">
        <f t="shared" si="2"/>
        <v>Low</v>
      </c>
      <c r="T25" s="23"/>
      <c r="U25" s="4"/>
      <c r="V25" s="4"/>
    </row>
    <row r="26">
      <c r="A26" s="4" t="s">
        <v>107</v>
      </c>
      <c r="B26" s="4" t="s">
        <v>84</v>
      </c>
      <c r="C26" s="4" t="s">
        <v>72</v>
      </c>
      <c r="D26" s="4" t="s">
        <v>82</v>
      </c>
      <c r="E26" s="4" t="s">
        <v>75</v>
      </c>
      <c r="F26" s="23">
        <v>1.0</v>
      </c>
      <c r="G26" s="23">
        <v>200.0</v>
      </c>
      <c r="H26" s="23">
        <v>200.0</v>
      </c>
      <c r="J26" s="23">
        <v>200.0</v>
      </c>
      <c r="O26" s="36">
        <f t="shared" si="1"/>
        <v>0.008605851979</v>
      </c>
      <c r="P26" s="37" t="str">
        <f t="shared" si="2"/>
        <v>Low</v>
      </c>
      <c r="T26" s="23"/>
      <c r="U26" s="4"/>
      <c r="V26" s="4"/>
    </row>
    <row r="28">
      <c r="C28" s="59" t="s">
        <v>108</v>
      </c>
      <c r="D28" s="56"/>
      <c r="E28" s="56"/>
      <c r="F28" s="56"/>
      <c r="G28" s="56"/>
      <c r="U28" s="19" t="s">
        <v>39</v>
      </c>
      <c r="V28" s="60" t="str">
        <f>VLOOKUP(U2,U2:V26,2,FALSE)</f>
        <v>#N/A</v>
      </c>
    </row>
    <row r="29">
      <c r="C29" s="33" t="str">
        <f t="array" ref="C29:J54">SORT(A1:H26,6,FALSE)</f>
        <v>OrderID</v>
      </c>
      <c r="D29" s="33" t="s">
        <v>4</v>
      </c>
      <c r="E29" s="33" t="s">
        <v>6</v>
      </c>
      <c r="F29" s="33" t="s">
        <v>7</v>
      </c>
      <c r="G29" s="33" t="s">
        <v>8</v>
      </c>
      <c r="H29" s="33" t="s">
        <v>10</v>
      </c>
      <c r="I29" s="33" t="s">
        <v>12</v>
      </c>
      <c r="J29" s="33" t="s">
        <v>13</v>
      </c>
    </row>
    <row r="30">
      <c r="C30" s="40" t="s">
        <v>96</v>
      </c>
      <c r="D30" s="40" t="s">
        <v>62</v>
      </c>
      <c r="E30" s="40" t="s">
        <v>85</v>
      </c>
      <c r="F30" s="40" t="s">
        <v>76</v>
      </c>
      <c r="G30" s="40" t="s">
        <v>77</v>
      </c>
      <c r="H30" s="56">
        <v>25.0</v>
      </c>
      <c r="I30" s="40">
        <v>20.0</v>
      </c>
      <c r="J30" s="40">
        <v>500.0</v>
      </c>
    </row>
    <row r="31">
      <c r="C31" s="40" t="s">
        <v>102</v>
      </c>
      <c r="D31" s="40" t="s">
        <v>84</v>
      </c>
      <c r="E31" s="40" t="s">
        <v>68</v>
      </c>
      <c r="F31" s="40" t="s">
        <v>76</v>
      </c>
      <c r="G31" s="40" t="s">
        <v>77</v>
      </c>
      <c r="H31" s="56">
        <v>20.0</v>
      </c>
      <c r="I31" s="40">
        <v>20.0</v>
      </c>
      <c r="J31" s="40">
        <v>400.0</v>
      </c>
    </row>
    <row r="32">
      <c r="C32" s="40" t="s">
        <v>105</v>
      </c>
      <c r="D32" s="40" t="s">
        <v>67</v>
      </c>
      <c r="E32" s="40" t="s">
        <v>72</v>
      </c>
      <c r="F32" s="40" t="s">
        <v>76</v>
      </c>
      <c r="G32" s="40" t="s">
        <v>77</v>
      </c>
      <c r="H32" s="56">
        <v>18.0</v>
      </c>
      <c r="I32" s="40">
        <v>20.0</v>
      </c>
      <c r="J32" s="40">
        <v>360.0</v>
      </c>
    </row>
    <row r="33">
      <c r="C33" s="40" t="s">
        <v>97</v>
      </c>
      <c r="D33" s="40" t="s">
        <v>67</v>
      </c>
      <c r="E33" s="40" t="s">
        <v>85</v>
      </c>
      <c r="F33" s="40" t="s">
        <v>80</v>
      </c>
      <c r="G33" s="40" t="s">
        <v>77</v>
      </c>
      <c r="H33" s="56">
        <v>15.0</v>
      </c>
      <c r="I33" s="40">
        <v>30.0</v>
      </c>
      <c r="J33" s="40">
        <v>450.0</v>
      </c>
    </row>
    <row r="34">
      <c r="C34" s="40" t="s">
        <v>101</v>
      </c>
      <c r="D34" s="40" t="s">
        <v>36</v>
      </c>
      <c r="E34" s="40" t="s">
        <v>68</v>
      </c>
      <c r="F34" s="40" t="s">
        <v>80</v>
      </c>
      <c r="G34" s="40" t="s">
        <v>77</v>
      </c>
      <c r="H34" s="56">
        <v>14.0</v>
      </c>
      <c r="I34" s="40">
        <v>30.0</v>
      </c>
      <c r="J34" s="40">
        <v>420.0</v>
      </c>
    </row>
    <row r="35">
      <c r="C35" s="40" t="s">
        <v>106</v>
      </c>
      <c r="D35" s="40" t="s">
        <v>62</v>
      </c>
      <c r="E35" s="40" t="s">
        <v>38</v>
      </c>
      <c r="F35" s="40" t="s">
        <v>80</v>
      </c>
      <c r="G35" s="40" t="s">
        <v>77</v>
      </c>
      <c r="H35" s="56">
        <v>10.0</v>
      </c>
      <c r="I35" s="40">
        <v>30.0</v>
      </c>
      <c r="J35" s="40">
        <v>300.0</v>
      </c>
    </row>
    <row r="36">
      <c r="C36" s="40" t="s">
        <v>71</v>
      </c>
      <c r="D36" s="40" t="s">
        <v>36</v>
      </c>
      <c r="E36" s="40" t="s">
        <v>72</v>
      </c>
      <c r="F36" s="40" t="s">
        <v>64</v>
      </c>
      <c r="G36" s="40" t="s">
        <v>40</v>
      </c>
      <c r="H36" s="56">
        <v>9.0</v>
      </c>
      <c r="I36" s="40">
        <v>180.0</v>
      </c>
      <c r="J36" s="40">
        <v>1620.0</v>
      </c>
    </row>
    <row r="37">
      <c r="C37" s="40" t="s">
        <v>71</v>
      </c>
      <c r="D37" s="40" t="s">
        <v>36</v>
      </c>
      <c r="E37" s="40" t="s">
        <v>72</v>
      </c>
      <c r="F37" s="40" t="s">
        <v>64</v>
      </c>
      <c r="G37" s="40" t="s">
        <v>40</v>
      </c>
      <c r="H37" s="56">
        <v>9.0</v>
      </c>
      <c r="I37" s="40">
        <v>180.0</v>
      </c>
      <c r="J37" s="40">
        <v>1620.0</v>
      </c>
    </row>
    <row r="38">
      <c r="C38" s="40" t="s">
        <v>91</v>
      </c>
      <c r="D38" s="40" t="s">
        <v>67</v>
      </c>
      <c r="E38" s="40" t="s">
        <v>85</v>
      </c>
      <c r="F38" s="40" t="s">
        <v>74</v>
      </c>
      <c r="G38" s="40" t="s">
        <v>75</v>
      </c>
      <c r="H38" s="56">
        <v>8.0</v>
      </c>
      <c r="I38" s="40">
        <v>90.0</v>
      </c>
      <c r="J38" s="40">
        <v>720.0</v>
      </c>
    </row>
    <row r="39">
      <c r="C39" s="40" t="s">
        <v>81</v>
      </c>
      <c r="D39" s="40" t="s">
        <v>36</v>
      </c>
      <c r="E39" s="40" t="s">
        <v>72</v>
      </c>
      <c r="F39" s="40" t="s">
        <v>64</v>
      </c>
      <c r="G39" s="40" t="s">
        <v>40</v>
      </c>
      <c r="H39" s="56">
        <v>7.0</v>
      </c>
      <c r="I39" s="40">
        <v>180.0</v>
      </c>
      <c r="J39" s="40">
        <v>1260.0</v>
      </c>
    </row>
    <row r="40">
      <c r="C40" s="40" t="s">
        <v>34</v>
      </c>
      <c r="D40" s="40" t="s">
        <v>36</v>
      </c>
      <c r="E40" s="40" t="s">
        <v>38</v>
      </c>
      <c r="F40" s="40" t="s">
        <v>39</v>
      </c>
      <c r="G40" s="40" t="s">
        <v>40</v>
      </c>
      <c r="H40" s="56">
        <v>6.0</v>
      </c>
      <c r="I40" s="40">
        <v>500.0</v>
      </c>
      <c r="J40" s="40">
        <v>3000.0</v>
      </c>
    </row>
    <row r="41">
      <c r="C41" s="40" t="s">
        <v>94</v>
      </c>
      <c r="D41" s="40" t="s">
        <v>67</v>
      </c>
      <c r="E41" s="40" t="s">
        <v>68</v>
      </c>
      <c r="F41" s="40" t="s">
        <v>74</v>
      </c>
      <c r="G41" s="40" t="s">
        <v>75</v>
      </c>
      <c r="H41" s="56">
        <v>6.0</v>
      </c>
      <c r="I41" s="40">
        <v>90.0</v>
      </c>
      <c r="J41" s="40">
        <v>540.0</v>
      </c>
    </row>
    <row r="42">
      <c r="C42" s="40" t="s">
        <v>61</v>
      </c>
      <c r="D42" s="40" t="s">
        <v>62</v>
      </c>
      <c r="E42" s="40" t="s">
        <v>38</v>
      </c>
      <c r="F42" s="40" t="s">
        <v>39</v>
      </c>
      <c r="G42" s="40" t="s">
        <v>40</v>
      </c>
      <c r="H42" s="56">
        <v>5.0</v>
      </c>
      <c r="I42" s="40">
        <v>500.0</v>
      </c>
      <c r="J42" s="40">
        <v>2500.0</v>
      </c>
    </row>
    <row r="43">
      <c r="C43" s="40" t="s">
        <v>87</v>
      </c>
      <c r="D43" s="40" t="s">
        <v>62</v>
      </c>
      <c r="E43" s="40" t="s">
        <v>68</v>
      </c>
      <c r="F43" s="40" t="s">
        <v>64</v>
      </c>
      <c r="G43" s="40" t="s">
        <v>40</v>
      </c>
      <c r="H43" s="56">
        <v>5.0</v>
      </c>
      <c r="I43" s="40">
        <v>180.0</v>
      </c>
      <c r="J43" s="40">
        <v>900.0</v>
      </c>
    </row>
    <row r="44">
      <c r="C44" s="40" t="s">
        <v>99</v>
      </c>
      <c r="D44" s="40" t="s">
        <v>84</v>
      </c>
      <c r="E44" s="40" t="s">
        <v>85</v>
      </c>
      <c r="F44" s="40" t="s">
        <v>74</v>
      </c>
      <c r="G44" s="40" t="s">
        <v>75</v>
      </c>
      <c r="H44" s="56">
        <v>5.0</v>
      </c>
      <c r="I44" s="40">
        <v>90.0</v>
      </c>
      <c r="J44" s="40">
        <v>450.0</v>
      </c>
    </row>
    <row r="45">
      <c r="C45" s="40" t="s">
        <v>66</v>
      </c>
      <c r="D45" s="40" t="s">
        <v>67</v>
      </c>
      <c r="E45" s="40" t="s">
        <v>68</v>
      </c>
      <c r="F45" s="40" t="s">
        <v>39</v>
      </c>
      <c r="G45" s="40" t="s">
        <v>40</v>
      </c>
      <c r="H45" s="56">
        <v>4.0</v>
      </c>
      <c r="I45" s="40">
        <v>500.0</v>
      </c>
      <c r="J45" s="40">
        <v>2000.0</v>
      </c>
    </row>
    <row r="46">
      <c r="C46" s="40" t="s">
        <v>88</v>
      </c>
      <c r="D46" s="40" t="s">
        <v>36</v>
      </c>
      <c r="E46" s="40" t="s">
        <v>68</v>
      </c>
      <c r="F46" s="40" t="s">
        <v>69</v>
      </c>
      <c r="G46" s="40" t="s">
        <v>70</v>
      </c>
      <c r="H46" s="56">
        <v>4.0</v>
      </c>
      <c r="I46" s="40">
        <v>220.0</v>
      </c>
      <c r="J46" s="40">
        <v>880.0</v>
      </c>
    </row>
    <row r="47">
      <c r="C47" s="40" t="s">
        <v>90</v>
      </c>
      <c r="D47" s="40" t="s">
        <v>84</v>
      </c>
      <c r="E47" s="40" t="s">
        <v>38</v>
      </c>
      <c r="F47" s="40" t="s">
        <v>64</v>
      </c>
      <c r="G47" s="40" t="s">
        <v>40</v>
      </c>
      <c r="H47" s="56">
        <v>4.0</v>
      </c>
      <c r="I47" s="40">
        <v>180.0</v>
      </c>
      <c r="J47" s="40">
        <v>720.0</v>
      </c>
    </row>
    <row r="48">
      <c r="C48" s="40" t="s">
        <v>78</v>
      </c>
      <c r="D48" s="40" t="s">
        <v>67</v>
      </c>
      <c r="E48" s="40" t="s">
        <v>72</v>
      </c>
      <c r="F48" s="40" t="s">
        <v>39</v>
      </c>
      <c r="G48" s="40" t="s">
        <v>40</v>
      </c>
      <c r="H48" s="56">
        <v>3.0</v>
      </c>
      <c r="I48" s="40">
        <v>500.0</v>
      </c>
      <c r="J48" s="40">
        <v>1500.0</v>
      </c>
    </row>
    <row r="49">
      <c r="C49" s="40" t="s">
        <v>93</v>
      </c>
      <c r="D49" s="40" t="s">
        <v>62</v>
      </c>
      <c r="E49" s="40" t="s">
        <v>38</v>
      </c>
      <c r="F49" s="40" t="s">
        <v>69</v>
      </c>
      <c r="G49" s="40" t="s">
        <v>70</v>
      </c>
      <c r="H49" s="56">
        <v>3.0</v>
      </c>
      <c r="I49" s="40">
        <v>220.0</v>
      </c>
      <c r="J49" s="40">
        <v>660.0</v>
      </c>
    </row>
    <row r="50">
      <c r="C50" s="40" t="s">
        <v>83</v>
      </c>
      <c r="D50" s="40" t="s">
        <v>84</v>
      </c>
      <c r="E50" s="40" t="s">
        <v>85</v>
      </c>
      <c r="F50" s="40" t="s">
        <v>39</v>
      </c>
      <c r="G50" s="40" t="s">
        <v>40</v>
      </c>
      <c r="H50" s="56">
        <v>2.0</v>
      </c>
      <c r="I50" s="40">
        <v>500.0</v>
      </c>
      <c r="J50" s="40">
        <v>1000.0</v>
      </c>
    </row>
    <row r="51">
      <c r="C51" s="40" t="s">
        <v>100</v>
      </c>
      <c r="D51" s="40" t="s">
        <v>84</v>
      </c>
      <c r="E51" s="40" t="s">
        <v>85</v>
      </c>
      <c r="F51" s="40" t="s">
        <v>69</v>
      </c>
      <c r="G51" s="40" t="s">
        <v>70</v>
      </c>
      <c r="H51" s="56">
        <v>2.0</v>
      </c>
      <c r="I51" s="40">
        <v>220.0</v>
      </c>
      <c r="J51" s="40">
        <v>440.0</v>
      </c>
    </row>
    <row r="52">
      <c r="C52" s="40" t="s">
        <v>103</v>
      </c>
      <c r="D52" s="40" t="s">
        <v>36</v>
      </c>
      <c r="E52" s="40" t="s">
        <v>72</v>
      </c>
      <c r="F52" s="40" t="s">
        <v>82</v>
      </c>
      <c r="G52" s="40" t="s">
        <v>75</v>
      </c>
      <c r="H52" s="56">
        <v>2.0</v>
      </c>
      <c r="I52" s="40">
        <v>200.0</v>
      </c>
      <c r="J52" s="40">
        <v>400.0</v>
      </c>
    </row>
    <row r="53">
      <c r="C53" s="40" t="s">
        <v>104</v>
      </c>
      <c r="D53" s="40" t="s">
        <v>62</v>
      </c>
      <c r="E53" s="40" t="s">
        <v>38</v>
      </c>
      <c r="F53" s="40" t="s">
        <v>82</v>
      </c>
      <c r="G53" s="40" t="s">
        <v>75</v>
      </c>
      <c r="H53" s="56">
        <v>2.0</v>
      </c>
      <c r="I53" s="40">
        <v>200.0</v>
      </c>
      <c r="J53" s="40">
        <v>400.0</v>
      </c>
    </row>
    <row r="54">
      <c r="C54" s="40" t="s">
        <v>107</v>
      </c>
      <c r="D54" s="40" t="s">
        <v>84</v>
      </c>
      <c r="E54" s="40" t="s">
        <v>72</v>
      </c>
      <c r="F54" s="40" t="s">
        <v>82</v>
      </c>
      <c r="G54" s="40" t="s">
        <v>75</v>
      </c>
      <c r="H54" s="56">
        <v>1.0</v>
      </c>
      <c r="I54" s="40">
        <v>200.0</v>
      </c>
      <c r="J54" s="40">
        <v>200.0</v>
      </c>
    </row>
  </sheetData>
  <autoFilter ref="$A$1:$T$28">
    <sortState ref="A1:T28">
      <sortCondition descending="1" ref="P1:P28"/>
      <sortCondition ref="Q1:Q28"/>
      <sortCondition descending="1" ref="H1:H28"/>
    </sortState>
  </autoFilter>
  <mergeCells count="8">
    <mergeCell ref="K1:L1"/>
    <mergeCell ref="M1:N1"/>
    <mergeCell ref="Q1:R1"/>
    <mergeCell ref="M3:N3"/>
    <mergeCell ref="M5:N5"/>
    <mergeCell ref="M9:N9"/>
    <mergeCell ref="M13:N13"/>
    <mergeCell ref="M15:N15"/>
  </mergeCells>
  <conditionalFormatting sqref="T1:T26">
    <cfRule type="colorScale" priority="1">
      <colorScale>
        <cfvo type="min"/>
        <cfvo type="max"/>
        <color rgb="FFFFFFFF"/>
        <color rgb="FF57BB8A"/>
      </colorScale>
    </cfRule>
  </conditionalFormatting>
  <conditionalFormatting sqref="T1:T26">
    <cfRule type="colorScale" priority="2">
      <colorScale>
        <cfvo type="min"/>
        <cfvo type="max"/>
        <color rgb="FFFFFFFF"/>
        <color rgb="FF57BB8A"/>
      </colorScale>
    </cfRule>
  </conditionalFormatting>
  <conditionalFormatting sqref="A2:A26">
    <cfRule type="expression" dxfId="0" priority="3">
      <formula>COUNTIF(A$2:A$26,A2)&gt;1</formula>
    </cfRule>
  </conditionalFormatting>
  <conditionalFormatting sqref="H1:H26">
    <cfRule type="cellIs" dxfId="0" priority="4" operator="greaterThan">
      <formula>1000</formula>
    </cfRule>
  </conditionalFormatting>
  <conditionalFormatting sqref="J2:J26">
    <cfRule type="colorScale" priority="5">
      <colorScale>
        <cfvo type="min"/>
        <cfvo type="max"/>
        <color rgb="FFFFFFFF"/>
        <color rgb="FF57BB8A"/>
      </colorScale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7.0"/>
    <col customWidth="1" min="7" max="7" width="90.63"/>
  </cols>
  <sheetData>
    <row r="1">
      <c r="A1" s="1" t="s">
        <v>0</v>
      </c>
      <c r="G1" s="2" t="s">
        <v>2</v>
      </c>
    </row>
    <row r="2">
      <c r="A2" s="4" t="s">
        <v>3</v>
      </c>
      <c r="G2" s="5" t="s">
        <v>5</v>
      </c>
    </row>
    <row r="3">
      <c r="A3" s="4" t="s">
        <v>9</v>
      </c>
      <c r="G3" s="6" t="s">
        <v>11</v>
      </c>
    </row>
    <row r="4">
      <c r="A4" s="4" t="s">
        <v>15</v>
      </c>
      <c r="G4" s="8" t="s">
        <v>16</v>
      </c>
    </row>
    <row r="5">
      <c r="A5" s="4" t="s">
        <v>18</v>
      </c>
      <c r="G5" s="9" t="s">
        <v>19</v>
      </c>
    </row>
    <row r="6">
      <c r="A6" s="4" t="s">
        <v>20</v>
      </c>
      <c r="G6" s="11" t="s">
        <v>21</v>
      </c>
    </row>
    <row r="7">
      <c r="A7" s="4" t="s">
        <v>23</v>
      </c>
      <c r="G7" s="13" t="s">
        <v>24</v>
      </c>
    </row>
    <row r="8">
      <c r="A8" s="4" t="s">
        <v>26</v>
      </c>
      <c r="G8" s="15" t="s">
        <v>27</v>
      </c>
    </row>
    <row r="9">
      <c r="A9" s="4" t="s">
        <v>29</v>
      </c>
      <c r="G9" s="17" t="s">
        <v>30</v>
      </c>
    </row>
    <row r="10">
      <c r="A10" s="4" t="s">
        <v>32</v>
      </c>
      <c r="G10" s="21" t="s">
        <v>33</v>
      </c>
    </row>
    <row r="11">
      <c r="A11" s="4" t="s">
        <v>35</v>
      </c>
      <c r="G11" s="22" t="s">
        <v>37</v>
      </c>
    </row>
    <row r="12">
      <c r="A12" s="4" t="s">
        <v>41</v>
      </c>
      <c r="G12" s="24" t="s">
        <v>42</v>
      </c>
    </row>
    <row r="13">
      <c r="A13" s="4" t="s">
        <v>43</v>
      </c>
      <c r="G13" s="6" t="s">
        <v>44</v>
      </c>
    </row>
    <row r="14">
      <c r="A14" s="4" t="s">
        <v>45</v>
      </c>
      <c r="G14" s="22" t="s">
        <v>46</v>
      </c>
    </row>
    <row r="15">
      <c r="A15" s="4" t="s">
        <v>47</v>
      </c>
      <c r="G15" s="25" t="s">
        <v>48</v>
      </c>
    </row>
    <row r="16">
      <c r="A16" s="4" t="s">
        <v>49</v>
      </c>
      <c r="G16" s="26" t="s">
        <v>50</v>
      </c>
    </row>
    <row r="17">
      <c r="A17" s="4" t="s">
        <v>51</v>
      </c>
      <c r="G17" s="27" t="s">
        <v>52</v>
      </c>
    </row>
    <row r="18">
      <c r="A18" s="4" t="s">
        <v>53</v>
      </c>
      <c r="G18" s="29" t="s">
        <v>54</v>
      </c>
    </row>
    <row r="19">
      <c r="A19" s="4" t="s">
        <v>55</v>
      </c>
      <c r="G19" s="30" t="s">
        <v>56</v>
      </c>
    </row>
    <row r="20">
      <c r="A20" s="4" t="s">
        <v>57</v>
      </c>
      <c r="G20" s="9" t="s">
        <v>58</v>
      </c>
    </row>
    <row r="21">
      <c r="A21" s="4" t="s">
        <v>59</v>
      </c>
      <c r="G21" s="32" t="s">
        <v>60</v>
      </c>
    </row>
  </sheetData>
  <drawing r:id="rId1"/>
</worksheet>
</file>